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Inversión Total" sheetId="1" state="visible" r:id="rId1"/>
    <sheet name="2. Cronograma de Pagos" sheetId="2" state="visible" r:id="rId2"/>
    <sheet name="3. Estado P y 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2"/>
    </font>
    <font>
      <name val="Arial"/>
      <b val="1"/>
      <color rgb="00FFFFFF"/>
      <sz val="11"/>
    </font>
    <font>
      <name val="Arial"/>
      <color rgb="00000000"/>
      <sz val="11"/>
    </font>
    <font>
      <name val="Arial"/>
      <color rgb="000000FF"/>
      <sz val="11"/>
    </font>
    <font>
      <name val="Arial"/>
      <i val="1"/>
      <color rgb="00555555"/>
      <sz val="9"/>
    </font>
    <font>
      <name val="Arial"/>
      <i val="1"/>
      <color rgb="00000000"/>
      <sz val="10"/>
    </font>
    <font>
      <name val="Arial"/>
      <b val="1"/>
      <color rgb="00000000"/>
      <sz val="11"/>
    </font>
    <font>
      <name val="Arial"/>
      <i val="1"/>
      <color rgb="00FFFFFF"/>
      <sz val="10"/>
    </font>
    <font>
      <name val="Arial"/>
      <i val="1"/>
      <color rgb="00666666"/>
      <sz val="9"/>
    </font>
    <font>
      <name val="Arial"/>
      <i val="1"/>
      <color rgb="00555555"/>
      <sz val="10"/>
    </font>
    <font>
      <name val="Arial"/>
      <b val="1"/>
      <color rgb="00000000"/>
      <sz val="10"/>
    </font>
    <font>
      <name val="Arial"/>
      <color rgb="00888888"/>
      <sz val="10"/>
    </font>
    <font>
      <name val="Arial"/>
      <i val="1"/>
      <color rgb="00888888"/>
      <sz val="10"/>
    </font>
  </fonts>
  <fills count="1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D6E4F0"/>
      </patternFill>
    </fill>
    <fill>
      <patternFill patternType="solid">
        <fgColor rgb="00D5F0E1"/>
      </patternFill>
    </fill>
    <fill>
      <patternFill patternType="solid">
        <fgColor rgb="00FDEBD0"/>
      </patternFill>
    </fill>
    <fill>
      <patternFill patternType="solid">
        <fgColor rgb="00FEF9E7"/>
      </patternFill>
    </fill>
    <fill>
      <patternFill patternType="solid">
        <fgColor rgb="00EBF5FB"/>
      </patternFill>
    </fill>
    <fill>
      <patternFill patternType="solid">
        <fgColor rgb="00F4ECF7"/>
      </patternFill>
    </fill>
    <fill>
      <patternFill patternType="solid">
        <fgColor rgb="00FDFEFE"/>
      </patternFill>
    </fill>
    <fill>
      <patternFill patternType="solid">
        <fgColor rgb="00F0F0F0"/>
      </patternFill>
    </fill>
    <fill>
      <patternFill patternType="solid">
        <fgColor rgb="00FDEDEC"/>
      </patternFill>
    </fill>
  </fills>
  <borders count="6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  <border>
      <left style="medium">
        <color rgb="002E75B6"/>
      </left>
      <right style="medium">
        <color rgb="002E75B6"/>
      </right>
      <top style="medium">
        <color rgb="002E75B6"/>
      </top>
      <bottom style="medium">
        <color rgb="002E75B6"/>
      </bottom>
    </border>
  </borders>
  <cellStyleXfs count="1">
    <xf numFmtId="0" fontId="0" fillId="0" borderId="0"/>
  </cellStyleXfs>
  <cellXfs count="10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4" fontId="5" fillId="4" borderId="1" applyAlignment="1" pivotButton="0" quotePrefix="0" xfId="0">
      <alignment horizontal="right" vertical="center" wrapText="1"/>
    </xf>
    <xf numFmtId="0" fontId="5" fillId="4" borderId="1" applyAlignment="1" pivotButton="0" quotePrefix="0" xfId="0">
      <alignment horizontal="center" vertical="center" wrapText="1"/>
    </xf>
    <xf numFmtId="4" fontId="4" fillId="4" borderId="1" applyAlignment="1" pivotButton="0" quotePrefix="0" xfId="0">
      <alignment horizontal="right" vertical="center" wrapText="1"/>
    </xf>
    <xf numFmtId="0" fontId="4" fillId="5" borderId="1" applyAlignment="1" pivotButton="0" quotePrefix="0" xfId="0">
      <alignment horizontal="left" vertical="center" wrapText="1"/>
    </xf>
    <xf numFmtId="4" fontId="5" fillId="5" borderId="1" applyAlignment="1" pivotButton="0" quotePrefix="0" xfId="0">
      <alignment horizontal="right" vertical="center" wrapText="1"/>
    </xf>
    <xf numFmtId="0" fontId="5" fillId="5" borderId="1" applyAlignment="1" pivotButton="0" quotePrefix="0" xfId="0">
      <alignment horizontal="center" vertical="center" wrapText="1"/>
    </xf>
    <xf numFmtId="4" fontId="4" fillId="5" borderId="1" applyAlignment="1" pivotButton="0" quotePrefix="0" xfId="0">
      <alignment horizontal="right" vertical="center" wrapText="1"/>
    </xf>
    <xf numFmtId="0" fontId="4" fillId="6" borderId="1" applyAlignment="1" pivotButton="0" quotePrefix="0" xfId="0">
      <alignment horizontal="left" vertical="center" wrapText="1"/>
    </xf>
    <xf numFmtId="4" fontId="5" fillId="6" borderId="1" applyAlignment="1" pivotButton="0" quotePrefix="0" xfId="0">
      <alignment horizontal="right" vertical="center" wrapText="1"/>
    </xf>
    <xf numFmtId="0" fontId="4" fillId="6" borderId="1" applyAlignment="1" pivotButton="0" quotePrefix="0" xfId="0">
      <alignment horizontal="center" vertical="center" wrapText="1"/>
    </xf>
    <xf numFmtId="4" fontId="4" fillId="6" borderId="1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left" vertical="center" wrapText="1"/>
    </xf>
    <xf numFmtId="0" fontId="0" fillId="0" borderId="4" pivotButton="0" quotePrefix="0" xfId="0"/>
    <xf numFmtId="0" fontId="4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4" fontId="4" fillId="7" borderId="1" applyAlignment="1" pivotButton="0" quotePrefix="0" xfId="0">
      <alignment horizontal="right" vertical="center" wrapText="1"/>
    </xf>
    <xf numFmtId="0" fontId="8" fillId="8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4" fontId="4" fillId="8" borderId="1" applyAlignment="1" pivotButton="0" quotePrefix="0" xfId="0">
      <alignment horizontal="right" vertical="center" wrapText="1"/>
    </xf>
    <xf numFmtId="0" fontId="3" fillId="2" borderId="5" applyAlignment="1" pivotButton="0" quotePrefix="0" xfId="0">
      <alignment horizontal="left" vertical="center" wrapText="1"/>
    </xf>
    <xf numFmtId="0" fontId="9" fillId="2" borderId="1" applyAlignment="1" pivotButton="0" quotePrefix="0" xfId="0">
      <alignment horizontal="left" vertical="center" wrapText="1"/>
    </xf>
    <xf numFmtId="4" fontId="3" fillId="2" borderId="5" applyAlignment="1" pivotButton="0" quotePrefix="0" xfId="0">
      <alignment horizontal="right" vertical="center" wrapText="1"/>
    </xf>
    <xf numFmtId="0" fontId="10" fillId="0" borderId="0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left" vertical="center" wrapText="1"/>
    </xf>
    <xf numFmtId="4" fontId="4" fillId="7" borderId="1" applyAlignment="1" pivotButton="0" quotePrefix="0" xfId="0">
      <alignment horizontal="right" vertical="center"/>
    </xf>
    <xf numFmtId="10" fontId="5" fillId="7" borderId="1" applyAlignment="1" pivotButton="0" quotePrefix="0" xfId="0">
      <alignment horizontal="right" vertical="center"/>
    </xf>
    <xf numFmtId="1" fontId="5" fillId="7" borderId="1" applyAlignment="1" pivotButton="0" quotePrefix="0" xfId="0">
      <alignment horizontal="right" vertical="center"/>
    </xf>
    <xf numFmtId="4" fontId="8" fillId="6" borderId="1" applyAlignment="1" pivotButton="0" quotePrefix="0" xfId="0">
      <alignment horizontal="right" vertical="center"/>
    </xf>
    <xf numFmtId="0" fontId="11" fillId="0" borderId="0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3" fillId="3" borderId="5" applyAlignment="1" pivotButton="0" quotePrefix="0" xfId="0">
      <alignment horizontal="center" vertical="center" wrapText="1"/>
    </xf>
    <xf numFmtId="4" fontId="3" fillId="3" borderId="5" applyAlignment="1" pivotButton="0" quotePrefix="0" xfId="0">
      <alignment horizontal="right" vertical="center" wrapText="1"/>
    </xf>
    <xf numFmtId="0" fontId="12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4" fontId="5" fillId="10" borderId="1" applyAlignment="1" pivotButton="0" quotePrefix="0" xfId="0">
      <alignment horizontal="right" vertical="center" wrapText="1"/>
    </xf>
    <xf numFmtId="0" fontId="5" fillId="10" borderId="1" applyAlignment="1" pivotButton="0" quotePrefix="0" xfId="0">
      <alignment horizontal="center" vertical="center" wrapText="1"/>
    </xf>
    <xf numFmtId="4" fontId="4" fillId="10" borderId="1" applyAlignment="1" pivotButton="0" quotePrefix="0" xfId="0">
      <alignment horizontal="right" vertical="center" wrapText="1"/>
    </xf>
    <xf numFmtId="0" fontId="12" fillId="11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center" wrapText="1"/>
    </xf>
    <xf numFmtId="4" fontId="5" fillId="11" borderId="1" applyAlignment="1" pivotButton="0" quotePrefix="0" xfId="0">
      <alignment horizontal="right" vertical="center" wrapText="1"/>
    </xf>
    <xf numFmtId="0" fontId="5" fillId="11" borderId="1" applyAlignment="1" pivotButton="0" quotePrefix="0" xfId="0">
      <alignment horizontal="center" vertical="center" wrapText="1"/>
    </xf>
    <xf numFmtId="4" fontId="4" fillId="11" borderId="1" applyAlignment="1" pivotButton="0" quotePrefix="0" xfId="0">
      <alignment horizontal="right" vertical="center" wrapText="1"/>
    </xf>
    <xf numFmtId="0" fontId="12" fillId="1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left" vertical="center" wrapText="1"/>
    </xf>
    <xf numFmtId="4" fontId="5" fillId="12" borderId="1" applyAlignment="1" pivotButton="0" quotePrefix="0" xfId="0">
      <alignment horizontal="right" vertical="center" wrapText="1"/>
    </xf>
    <xf numFmtId="0" fontId="13" fillId="12" borderId="1" applyAlignment="1" pivotButton="0" quotePrefix="0" xfId="0">
      <alignment horizontal="center" vertical="center" wrapText="1"/>
    </xf>
    <xf numFmtId="4" fontId="4" fillId="12" borderId="1" applyAlignment="1" pivotButton="0" quotePrefix="0" xfId="0">
      <alignment horizontal="right" vertical="center" wrapText="1"/>
    </xf>
    <xf numFmtId="0" fontId="5" fillId="12" borderId="1" applyAlignment="1" pivotButton="0" quotePrefix="0" xfId="0">
      <alignment horizontal="center" vertical="center" wrapText="1"/>
    </xf>
    <xf numFmtId="0" fontId="12" fillId="13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left" vertical="center" wrapText="1"/>
    </xf>
    <xf numFmtId="4" fontId="5" fillId="13" borderId="1" applyAlignment="1" pivotButton="0" quotePrefix="0" xfId="0">
      <alignment horizontal="right" vertical="center" wrapText="1"/>
    </xf>
    <xf numFmtId="0" fontId="13" fillId="13" borderId="1" applyAlignment="1" pivotButton="0" quotePrefix="0" xfId="0">
      <alignment horizontal="center" vertical="center" wrapText="1"/>
    </xf>
    <xf numFmtId="4" fontId="4" fillId="13" borderId="1" applyAlignment="1" pivotButton="0" quotePrefix="0" xfId="0">
      <alignment horizontal="right" vertical="center" wrapText="1"/>
    </xf>
    <xf numFmtId="0" fontId="12" fillId="14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left" vertical="center" wrapText="1"/>
    </xf>
    <xf numFmtId="4" fontId="5" fillId="14" borderId="1" applyAlignment="1" pivotButton="0" quotePrefix="0" xfId="0">
      <alignment horizontal="right" vertical="center" wrapText="1"/>
    </xf>
    <xf numFmtId="0" fontId="13" fillId="14" borderId="1" applyAlignment="1" pivotButton="0" quotePrefix="0" xfId="0">
      <alignment horizontal="center" vertical="center" wrapText="1"/>
    </xf>
    <xf numFmtId="4" fontId="4" fillId="14" borderId="1" applyAlignment="1" pivotButton="0" quotePrefix="0" xfId="0">
      <alignment horizontal="right" vertical="center" wrapText="1"/>
    </xf>
    <xf numFmtId="0" fontId="12" fillId="15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left" vertical="center" wrapText="1"/>
    </xf>
    <xf numFmtId="4" fontId="5" fillId="15" borderId="1" applyAlignment="1" pivotButton="0" quotePrefix="0" xfId="0">
      <alignment horizontal="right" vertical="center" wrapText="1"/>
    </xf>
    <xf numFmtId="0" fontId="5" fillId="15" borderId="1" applyAlignment="1" pivotButton="0" quotePrefix="0" xfId="0">
      <alignment horizontal="center" vertical="center" wrapText="1"/>
    </xf>
    <xf numFmtId="4" fontId="4" fillId="15" borderId="1" applyAlignment="1" pivotButton="0" quotePrefix="0" xfId="0">
      <alignment horizontal="right" vertical="center" wrapText="1"/>
    </xf>
    <xf numFmtId="0" fontId="13" fillId="15" borderId="1" applyAlignment="1" pivotButton="0" quotePrefix="0" xfId="0">
      <alignment horizontal="center" vertical="center" wrapText="1"/>
    </xf>
    <xf numFmtId="0" fontId="12" fillId="16" borderId="1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left" vertical="center" wrapText="1"/>
    </xf>
    <xf numFmtId="4" fontId="5" fillId="16" borderId="1" applyAlignment="1" pivotButton="0" quotePrefix="0" xfId="0">
      <alignment horizontal="right" vertical="center" wrapText="1"/>
    </xf>
    <xf numFmtId="0" fontId="5" fillId="16" borderId="1" applyAlignment="1" pivotButton="0" quotePrefix="0" xfId="0">
      <alignment horizontal="center" vertical="center" wrapText="1"/>
    </xf>
    <xf numFmtId="4" fontId="4" fillId="16" borderId="1" applyAlignment="1" pivotButton="0" quotePrefix="0" xfId="0">
      <alignment horizontal="right" vertical="center" wrapText="1"/>
    </xf>
    <xf numFmtId="0" fontId="12" fillId="17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horizontal="left" vertical="center" wrapText="1"/>
    </xf>
    <xf numFmtId="0" fontId="14" fillId="17" borderId="1" applyAlignment="1" pivotButton="0" quotePrefix="0" xfId="0">
      <alignment horizontal="center" vertical="center" wrapText="1"/>
    </xf>
    <xf numFmtId="0" fontId="13" fillId="17" borderId="1" applyAlignment="1" pivotButton="0" quotePrefix="0" xfId="0">
      <alignment horizontal="center" vertical="center" wrapText="1"/>
    </xf>
    <xf numFmtId="4" fontId="4" fillId="17" borderId="1" applyAlignment="1" pivotButton="0" quotePrefix="0" xfId="0">
      <alignment horizontal="right" vertical="center" wrapText="1"/>
    </xf>
    <xf numFmtId="0" fontId="8" fillId="10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left" vertical="center" wrapText="1"/>
    </xf>
    <xf numFmtId="0" fontId="8" fillId="11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left" vertical="center" wrapText="1"/>
    </xf>
    <xf numFmtId="0" fontId="8" fillId="12" borderId="1" applyAlignment="1" pivotButton="0" quotePrefix="0" xfId="0">
      <alignment horizontal="center" vertical="center" wrapText="1"/>
    </xf>
    <xf numFmtId="0" fontId="11" fillId="12" borderId="1" applyAlignment="1" pivotButton="0" quotePrefix="0" xfId="0">
      <alignment horizontal="left" vertical="center" wrapText="1"/>
    </xf>
    <xf numFmtId="0" fontId="8" fillId="13" borderId="1" applyAlignment="1" pivotButton="0" quotePrefix="0" xfId="0">
      <alignment horizontal="center" vertical="center" wrapText="1"/>
    </xf>
    <xf numFmtId="0" fontId="11" fillId="13" borderId="1" applyAlignment="1" pivotButton="0" quotePrefix="0" xfId="0">
      <alignment horizontal="left" vertical="center" wrapText="1"/>
    </xf>
    <xf numFmtId="0" fontId="8" fillId="14" borderId="1" applyAlignment="1" pivotButton="0" quotePrefix="0" xfId="0">
      <alignment horizontal="center" vertical="center" wrapText="1"/>
    </xf>
    <xf numFmtId="0" fontId="11" fillId="14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 wrapText="1"/>
    </xf>
    <xf numFmtId="4" fontId="8" fillId="8" borderId="1" applyAlignment="1" pivotButton="0" quotePrefix="0" xfId="0">
      <alignment horizontal="right" vertical="center" wrapText="1"/>
    </xf>
    <xf numFmtId="0" fontId="8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left" vertical="center" wrapText="1"/>
    </xf>
    <xf numFmtId="4" fontId="8" fillId="6" borderId="1" applyAlignment="1" pivotButton="0" quotePrefix="0" xfId="0">
      <alignment horizontal="right" vertical="center" wrapText="1"/>
    </xf>
    <xf numFmtId="0" fontId="8" fillId="15" borderId="1" applyAlignment="1" pivotButton="0" quotePrefix="0" xfId="0">
      <alignment horizontal="center" vertical="center" wrapText="1"/>
    </xf>
    <xf numFmtId="0" fontId="11" fillId="15" borderId="1" applyAlignment="1" pivotButton="0" quotePrefix="0" xfId="0">
      <alignment horizontal="left" vertical="center" wrapText="1"/>
    </xf>
    <xf numFmtId="0" fontId="8" fillId="16" borderId="1" applyAlignment="1" pivotButton="0" quotePrefix="0" xfId="0">
      <alignment horizontal="center" vertical="center" wrapText="1"/>
    </xf>
    <xf numFmtId="0" fontId="11" fillId="16" borderId="1" applyAlignment="1" pivotButton="0" quotePrefix="0" xfId="0">
      <alignment horizontal="left" vertical="center" wrapText="1"/>
    </xf>
    <xf numFmtId="0" fontId="8" fillId="17" borderId="1" applyAlignment="1" pivotButton="0" quotePrefix="0" xfId="0">
      <alignment horizontal="center" vertical="center" wrapText="1"/>
    </xf>
    <xf numFmtId="0" fontId="11" fillId="17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left" vertical="center" wrapText="1"/>
    </xf>
    <xf numFmtId="0" fontId="3" fillId="2" borderId="5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12" customWidth="1" min="3" max="3"/>
    <col width="22" customWidth="1" min="4" max="4"/>
  </cols>
  <sheetData>
    <row r="1" ht="36" customHeight="1">
      <c r="A1" s="1" t="inlineStr">
        <is>
          <t>PRÁCTICA CALIFICADA N° 3 – Diseño de Proyectos de Innovación</t>
        </is>
      </c>
    </row>
    <row r="2" ht="22" customHeight="1">
      <c r="A2" s="2" t="inlineStr">
        <is>
          <t>PREGUNTA 1  |  Parte A: Cálculo de Inversión Total</t>
        </is>
      </c>
    </row>
    <row r="4" ht="22" customHeight="1">
      <c r="A4" s="3" t="inlineStr">
        <is>
          <t>TABLA DE ACTIVOS</t>
        </is>
      </c>
    </row>
    <row r="5">
      <c r="A5" s="4" t="inlineStr">
        <is>
          <t>Descripción</t>
        </is>
      </c>
      <c r="B5" s="4" t="inlineStr">
        <is>
          <t>Valor Unitario (S/.)</t>
        </is>
      </c>
      <c r="C5" s="4" t="inlineStr">
        <is>
          <t>Cantidad</t>
        </is>
      </c>
      <c r="D5" s="4" t="inlineStr">
        <is>
          <t>Total (S/.)</t>
        </is>
      </c>
    </row>
    <row r="6">
      <c r="A6" s="5" t="inlineStr">
        <is>
          <t>Laptops</t>
        </is>
      </c>
      <c r="B6" s="6" t="n">
        <v>7500</v>
      </c>
      <c r="C6" s="7" t="n">
        <v>6</v>
      </c>
      <c r="D6" s="8">
        <f>B6*C6</f>
        <v/>
      </c>
    </row>
    <row r="7">
      <c r="A7" s="9" t="inlineStr">
        <is>
          <t>Licencia de software de programación</t>
        </is>
      </c>
      <c r="B7" s="10" t="n">
        <v>8000</v>
      </c>
      <c r="C7" s="11" t="n">
        <v>2</v>
      </c>
      <c r="D7" s="12">
        <f>B7*C7</f>
        <v/>
      </c>
    </row>
    <row r="8">
      <c r="A8" s="5" t="inlineStr">
        <is>
          <t>Sillas</t>
        </is>
      </c>
      <c r="B8" s="6" t="n">
        <v>400</v>
      </c>
      <c r="C8" s="7" t="n">
        <v>6</v>
      </c>
      <c r="D8" s="8">
        <f>B8*C8</f>
        <v/>
      </c>
    </row>
    <row r="9">
      <c r="A9" s="5" t="inlineStr">
        <is>
          <t>Escritorios</t>
        </is>
      </c>
      <c r="B9" s="6" t="n">
        <v>1500</v>
      </c>
      <c r="C9" s="7" t="n">
        <v>3</v>
      </c>
      <c r="D9" s="8">
        <f>B9*C9</f>
        <v/>
      </c>
    </row>
    <row r="10">
      <c r="A10" s="13" t="inlineStr">
        <is>
          <t>Capital de Trabajo</t>
        </is>
      </c>
      <c r="B10" s="14" t="n">
        <v>30000</v>
      </c>
      <c r="C10" s="15" t="inlineStr">
        <is>
          <t>-</t>
        </is>
      </c>
      <c r="D10" s="16">
        <f>B10</f>
        <v/>
      </c>
    </row>
    <row r="11">
      <c r="A11" s="17" t="inlineStr">
        <is>
          <t>Leyenda: 🔵 Activo Tangible   🟡 Activo Intangible   🟢 Capital de Trabajo</t>
        </is>
      </c>
    </row>
    <row r="13" ht="22" customHeight="1">
      <c r="A13" s="3" t="inlineStr">
        <is>
          <t>RESUMEN DE INVERSIÓN</t>
        </is>
      </c>
    </row>
    <row r="14">
      <c r="A14" s="4" t="inlineStr">
        <is>
          <t>Rubro</t>
        </is>
      </c>
      <c r="B14" s="4" t="inlineStr">
        <is>
          <t>Detalle</t>
        </is>
      </c>
      <c r="C14" s="18" t="n"/>
      <c r="D14" s="4" t="inlineStr">
        <is>
          <t>Inversión (S/.)</t>
        </is>
      </c>
    </row>
    <row r="15">
      <c r="A15" s="19" t="inlineStr">
        <is>
          <t>Inversión Tangible</t>
        </is>
      </c>
      <c r="B15" s="20" t="inlineStr">
        <is>
          <t>Laptops + Sillas + Escritorios</t>
        </is>
      </c>
      <c r="D15" s="21">
        <f>D6+D8+D9</f>
        <v/>
      </c>
    </row>
    <row r="16">
      <c r="A16" s="19" t="inlineStr">
        <is>
          <t>Inversión Intangible</t>
        </is>
      </c>
      <c r="B16" s="20" t="inlineStr">
        <is>
          <t>Licencias de software</t>
        </is>
      </c>
      <c r="D16" s="21">
        <f>D7</f>
        <v/>
      </c>
    </row>
    <row r="17">
      <c r="A17" s="22" t="inlineStr">
        <is>
          <t>Inversión Fija</t>
        </is>
      </c>
      <c r="B17" s="23" t="inlineStr">
        <is>
          <t>Tangible + Intangible</t>
        </is>
      </c>
      <c r="D17" s="24">
        <f>D15+D16</f>
        <v/>
      </c>
    </row>
    <row r="18">
      <c r="A18" s="19" t="inlineStr">
        <is>
          <t>Capital de Trabajo</t>
        </is>
      </c>
      <c r="B18" s="20" t="inlineStr">
        <is>
          <t>Capital de trabajo inicial</t>
        </is>
      </c>
      <c r="D18" s="21">
        <f>D10</f>
        <v/>
      </c>
    </row>
    <row r="19">
      <c r="A19" s="22" t="inlineStr">
        <is>
          <t>Sub Total</t>
        </is>
      </c>
      <c r="B19" s="23" t="inlineStr">
        <is>
          <t>Inversión Fija + Capital de Trabajo</t>
        </is>
      </c>
      <c r="D19" s="24">
        <f>D17+D18</f>
        <v/>
      </c>
    </row>
    <row r="20">
      <c r="A20" s="19" t="inlineStr">
        <is>
          <t>Imprevistos (10%)</t>
        </is>
      </c>
      <c r="B20" s="20" t="inlineStr">
        <is>
          <t>10% del Sub Total</t>
        </is>
      </c>
      <c r="D20" s="21">
        <f>D19*0.10</f>
        <v/>
      </c>
    </row>
    <row r="21">
      <c r="A21" s="25" t="inlineStr">
        <is>
          <t>INVERSIÓN TOTAL</t>
        </is>
      </c>
      <c r="B21" s="26" t="inlineStr">
        <is>
          <t>Sub Total + Imprevistos</t>
        </is>
      </c>
      <c r="D21" s="27">
        <f>D19+D20</f>
        <v/>
      </c>
    </row>
    <row r="22">
      <c r="A22" s="28" t="inlineStr">
        <is>
          <t>(*) La Inversión Fija = Tangible + Intangible. Imprevistos = 10% del Subtotal.</t>
        </is>
      </c>
    </row>
  </sheetData>
  <mergeCells count="14">
    <mergeCell ref="A1:D1"/>
    <mergeCell ref="B21:C21"/>
    <mergeCell ref="B16:C16"/>
    <mergeCell ref="B15:C15"/>
    <mergeCell ref="A22:D22"/>
    <mergeCell ref="A4:D4"/>
    <mergeCell ref="B19:C19"/>
    <mergeCell ref="B20:C20"/>
    <mergeCell ref="B17:C17"/>
    <mergeCell ref="B14:C14"/>
    <mergeCell ref="A2:D2"/>
    <mergeCell ref="A11:D11"/>
    <mergeCell ref="B18:C18"/>
    <mergeCell ref="A13:D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6" customHeight="1">
      <c r="A1" s="1" t="inlineStr">
        <is>
          <t>PRÁCTICA CALIFICADA N° 3 – Diseño de Proyectos de Innovación</t>
        </is>
      </c>
    </row>
    <row r="2">
      <c r="A2" s="2" t="inlineStr">
        <is>
          <t>PREGUNTA 1  |  Parte B: Cronograma de Pagos – Método Francés</t>
        </is>
      </c>
    </row>
    <row r="4" ht="22" customHeight="1">
      <c r="A4" s="3" t="inlineStr">
        <is>
          <t>SUPUESTOS DEL PRÉSTAMO</t>
        </is>
      </c>
    </row>
    <row r="5">
      <c r="A5" s="29" t="inlineStr">
        <is>
          <t>Inversión Total (S/.)</t>
        </is>
      </c>
      <c r="B5" s="30">
        <f>'1. Inversión Total'!D21</f>
        <v/>
      </c>
    </row>
    <row r="6">
      <c r="A6" s="29" t="inlineStr">
        <is>
          <t>% Financiado con préstamo</t>
        </is>
      </c>
      <c r="B6" s="31">
        <f>0.70</f>
        <v/>
      </c>
    </row>
    <row r="7">
      <c r="A7" s="29" t="inlineStr">
        <is>
          <t>Monto del préstamo (S/.)</t>
        </is>
      </c>
      <c r="B7" s="30">
        <f>B5*B6</f>
        <v/>
      </c>
    </row>
    <row r="8">
      <c r="A8" s="29" t="inlineStr">
        <is>
          <t>Tasa Efectiva Anual (TEA)</t>
        </is>
      </c>
      <c r="B8" s="31">
        <f>0.15</f>
        <v/>
      </c>
    </row>
    <row r="9">
      <c r="A9" s="29" t="inlineStr">
        <is>
          <t>Plazo (años)</t>
        </is>
      </c>
      <c r="B9" s="32">
        <f>7</f>
        <v/>
      </c>
    </row>
    <row r="10">
      <c r="A10" s="29" t="inlineStr">
        <is>
          <t>Cuota Anual – Método Francés (S/.)</t>
        </is>
      </c>
      <c r="B10" s="33">
        <f>ABS(PMT(B8,B9,B7))</f>
        <v/>
      </c>
    </row>
    <row r="11">
      <c r="A11" s="34" t="inlineStr">
        <is>
          <t>Fórmula cuota:</t>
        </is>
      </c>
      <c r="B11" s="34">
        <f>ABS(PMT(TEA, n, Préstamo))   →   =ABS(PMT(B8, B9, B7))</f>
        <v/>
      </c>
    </row>
    <row r="13" ht="22" customHeight="1">
      <c r="A13" s="3" t="inlineStr">
        <is>
          <t>CRONOGRAMA DE PAGOS – MÉTODO FRANCÉS (Cuota Constante)</t>
        </is>
      </c>
    </row>
    <row r="14">
      <c r="A14" s="4" t="inlineStr">
        <is>
          <t>Año</t>
        </is>
      </c>
      <c r="B14" s="4" t="inlineStr">
        <is>
          <t>Saldo Inicial (S/.)</t>
        </is>
      </c>
      <c r="C14" s="4" t="inlineStr">
        <is>
          <t>Amortización (S/.)</t>
        </is>
      </c>
      <c r="D14" s="4" t="inlineStr">
        <is>
          <t>Interés (S/.)</t>
        </is>
      </c>
      <c r="E14" s="4" t="inlineStr">
        <is>
          <t>Cuota (S/.)</t>
        </is>
      </c>
      <c r="F14" s="4" t="inlineStr">
        <is>
          <t>Saldo Final (S/.)</t>
        </is>
      </c>
    </row>
    <row r="15">
      <c r="A15" s="35" t="n">
        <v>1</v>
      </c>
      <c r="B15" s="21">
        <f>B7</f>
        <v/>
      </c>
      <c r="C15" s="21">
        <f>E15-D15</f>
        <v/>
      </c>
      <c r="D15" s="21">
        <f>B15*B$8</f>
        <v/>
      </c>
      <c r="E15" s="21">
        <f>B$10</f>
        <v/>
      </c>
      <c r="F15" s="21">
        <f>B15-C15</f>
        <v/>
      </c>
    </row>
    <row r="16">
      <c r="A16" s="36" t="n">
        <v>2</v>
      </c>
      <c r="B16" s="24">
        <f>F15</f>
        <v/>
      </c>
      <c r="C16" s="24">
        <f>E16-D16</f>
        <v/>
      </c>
      <c r="D16" s="24">
        <f>B16*B$8</f>
        <v/>
      </c>
      <c r="E16" s="24">
        <f>B$10</f>
        <v/>
      </c>
      <c r="F16" s="24">
        <f>B16-C16</f>
        <v/>
      </c>
    </row>
    <row r="17">
      <c r="A17" s="35" t="n">
        <v>3</v>
      </c>
      <c r="B17" s="21">
        <f>F16</f>
        <v/>
      </c>
      <c r="C17" s="21">
        <f>E17-D17</f>
        <v/>
      </c>
      <c r="D17" s="21">
        <f>B17*B$8</f>
        <v/>
      </c>
      <c r="E17" s="21">
        <f>B$10</f>
        <v/>
      </c>
      <c r="F17" s="21">
        <f>B17-C17</f>
        <v/>
      </c>
    </row>
    <row r="18">
      <c r="A18" s="36" t="n">
        <v>4</v>
      </c>
      <c r="B18" s="24">
        <f>F17</f>
        <v/>
      </c>
      <c r="C18" s="24">
        <f>E18-D18</f>
        <v/>
      </c>
      <c r="D18" s="24">
        <f>B18*B$8</f>
        <v/>
      </c>
      <c r="E18" s="24">
        <f>B$10</f>
        <v/>
      </c>
      <c r="F18" s="24">
        <f>B18-C18</f>
        <v/>
      </c>
    </row>
    <row r="19">
      <c r="A19" s="35" t="n">
        <v>5</v>
      </c>
      <c r="B19" s="21">
        <f>F18</f>
        <v/>
      </c>
      <c r="C19" s="21">
        <f>E19-D19</f>
        <v/>
      </c>
      <c r="D19" s="21">
        <f>B19*B$8</f>
        <v/>
      </c>
      <c r="E19" s="21">
        <f>B$10</f>
        <v/>
      </c>
      <c r="F19" s="21">
        <f>B19-C19</f>
        <v/>
      </c>
    </row>
    <row r="20">
      <c r="A20" s="36" t="n">
        <v>6</v>
      </c>
      <c r="B20" s="24">
        <f>F19</f>
        <v/>
      </c>
      <c r="C20" s="24">
        <f>E20-D20</f>
        <v/>
      </c>
      <c r="D20" s="24">
        <f>B20*B$8</f>
        <v/>
      </c>
      <c r="E20" s="24">
        <f>B$10</f>
        <v/>
      </c>
      <c r="F20" s="24">
        <f>B20-C20</f>
        <v/>
      </c>
    </row>
    <row r="21">
      <c r="A21" s="35" t="n">
        <v>7</v>
      </c>
      <c r="B21" s="21">
        <f>F20</f>
        <v/>
      </c>
      <c r="C21" s="21">
        <f>E21-D21</f>
        <v/>
      </c>
      <c r="D21" s="21">
        <f>B21*B$8</f>
        <v/>
      </c>
      <c r="E21" s="21">
        <f>B$10</f>
        <v/>
      </c>
      <c r="F21" s="21">
        <f>B21-C21</f>
        <v/>
      </c>
    </row>
    <row r="22">
      <c r="A22" s="37" t="inlineStr">
        <is>
          <t>TOTAL</t>
        </is>
      </c>
      <c r="B22" s="37" t="inlineStr">
        <is>
          <t>-</t>
        </is>
      </c>
      <c r="C22" s="38">
        <f>SUM(C15:C21)</f>
        <v/>
      </c>
      <c r="D22" s="38">
        <f>SUM(D15:D21)</f>
        <v/>
      </c>
      <c r="E22" s="38">
        <f>SUM(E15:E21)</f>
        <v/>
      </c>
      <c r="F22" s="37" t="inlineStr">
        <is>
          <t>-</t>
        </is>
      </c>
    </row>
    <row r="23">
      <c r="A23" s="28" t="inlineStr">
        <is>
          <t>(*) Método Francés: cuota anual constante. Interés = Saldo Inicial × TEA. Amortización = Cuota − Interés. Saldo Final = Saldo Inicial − Amortización.</t>
        </is>
      </c>
    </row>
  </sheetData>
  <mergeCells count="12">
    <mergeCell ref="A2:F2"/>
    <mergeCell ref="B7:F7"/>
    <mergeCell ref="B6:F6"/>
    <mergeCell ref="A13:F13"/>
    <mergeCell ref="B10:F10"/>
    <mergeCell ref="A1:F1"/>
    <mergeCell ref="B11:F11"/>
    <mergeCell ref="A23:F23"/>
    <mergeCell ref="B5:F5"/>
    <mergeCell ref="A4:F4"/>
    <mergeCell ref="B8:F8"/>
    <mergeCell ref="B9:F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26" customWidth="1" min="3" max="3"/>
    <col width="12" customWidth="1" min="4" max="4"/>
    <col width="24" customWidth="1" min="5" max="5"/>
  </cols>
  <sheetData>
    <row r="1" ht="36" customHeight="1">
      <c r="A1" s="1" t="inlineStr">
        <is>
          <t>PRÁCTICA CALIFICADA N° 3 – Diseño de Proyectos de Innovación</t>
        </is>
      </c>
    </row>
    <row r="2">
      <c r="A2" s="2" t="inlineStr">
        <is>
          <t>PREGUNTA 1  |  Parte C: Estado de Pérdidas y Ganancias – Año 1</t>
        </is>
      </c>
    </row>
    <row r="4" ht="22" customHeight="1">
      <c r="A4" s="3" t="inlineStr">
        <is>
          <t>DATOS BASE (ENTRADAS)</t>
        </is>
      </c>
    </row>
    <row r="5">
      <c r="A5" s="4" t="inlineStr">
        <is>
          <t>N°</t>
        </is>
      </c>
      <c r="B5" s="4" t="inlineStr">
        <is>
          <t>Descripción</t>
        </is>
      </c>
      <c r="C5" s="4" t="inlineStr">
        <is>
          <t>Valor Unitario (S/.)</t>
        </is>
      </c>
      <c r="D5" s="4" t="inlineStr">
        <is>
          <t>Cantidad</t>
        </is>
      </c>
      <c r="E5" s="4" t="inlineStr">
        <is>
          <t>Total Anual (S/.)</t>
        </is>
      </c>
    </row>
    <row r="6">
      <c r="A6" s="39" t="n">
        <v>1</v>
      </c>
      <c r="B6" s="40" t="inlineStr">
        <is>
          <t>Precio de venta × 7 sedes</t>
        </is>
      </c>
      <c r="C6" s="41" t="n">
        <v>9000</v>
      </c>
      <c r="D6" s="42" t="n">
        <v>7</v>
      </c>
      <c r="E6" s="43">
        <f>C6*D6</f>
        <v/>
      </c>
    </row>
    <row r="7">
      <c r="A7" s="44" t="n">
        <v>2</v>
      </c>
      <c r="B7" s="45" t="inlineStr">
        <is>
          <t>Salario desarrolladores de software</t>
        </is>
      </c>
      <c r="C7" s="46" t="n">
        <v>3500</v>
      </c>
      <c r="D7" s="47" t="n">
        <v>6</v>
      </c>
      <c r="E7" s="48">
        <f>C7*D7*12</f>
        <v/>
      </c>
    </row>
    <row r="8">
      <c r="A8" s="44" t="n">
        <v>3</v>
      </c>
      <c r="B8" s="45" t="inlineStr">
        <is>
          <t>Licencia de nuevos softwares de prog.</t>
        </is>
      </c>
      <c r="C8" s="46" t="n">
        <v>2000</v>
      </c>
      <c r="D8" s="47" t="n">
        <v>2</v>
      </c>
      <c r="E8" s="48">
        <f>C8*D8</f>
        <v/>
      </c>
    </row>
    <row r="9">
      <c r="A9" s="49" t="n">
        <v>4</v>
      </c>
      <c r="B9" s="50" t="inlineStr">
        <is>
          <t>Útiles de oficina para desarrolladores</t>
        </is>
      </c>
      <c r="C9" s="51" t="n">
        <v>200</v>
      </c>
      <c r="D9" s="52" t="inlineStr">
        <is>
          <t>-</t>
        </is>
      </c>
      <c r="E9" s="53">
        <f>C9</f>
        <v/>
      </c>
    </row>
    <row r="10">
      <c r="A10" s="49" t="n">
        <v>5</v>
      </c>
      <c r="B10" s="50" t="inlineStr">
        <is>
          <t>Salario personal de limpieza</t>
        </is>
      </c>
      <c r="C10" s="51" t="n">
        <v>1000</v>
      </c>
      <c r="D10" s="54" t="n">
        <v>1</v>
      </c>
      <c r="E10" s="53">
        <f>C10*D10*12</f>
        <v/>
      </c>
    </row>
    <row r="11">
      <c r="A11" s="49" t="n">
        <v>6</v>
      </c>
      <c r="B11" s="50" t="inlineStr">
        <is>
          <t>Salario personal de vigilancia</t>
        </is>
      </c>
      <c r="C11" s="51" t="n">
        <v>1000</v>
      </c>
      <c r="D11" s="54" t="n">
        <v>1</v>
      </c>
      <c r="E11" s="53">
        <f>C11*D11*12</f>
        <v/>
      </c>
    </row>
    <row r="12">
      <c r="A12" s="55" t="n">
        <v>7</v>
      </c>
      <c r="B12" s="56" t="inlineStr">
        <is>
          <t>Depreciación de laptops</t>
        </is>
      </c>
      <c r="C12" s="57" t="n">
        <v>4500</v>
      </c>
      <c r="D12" s="58" t="inlineStr">
        <is>
          <t>-</t>
        </is>
      </c>
      <c r="E12" s="59">
        <f>C12</f>
        <v/>
      </c>
    </row>
    <row r="13">
      <c r="A13" s="60" t="n">
        <v>8</v>
      </c>
      <c r="B13" s="61" t="inlineStr">
        <is>
          <t>Amortización de software</t>
        </is>
      </c>
      <c r="C13" s="62" t="n">
        <v>300</v>
      </c>
      <c r="D13" s="63" t="inlineStr">
        <is>
          <t>-</t>
        </is>
      </c>
      <c r="E13" s="64">
        <f>C13</f>
        <v/>
      </c>
    </row>
    <row r="14">
      <c r="A14" s="65" t="n">
        <v>9</v>
      </c>
      <c r="B14" s="66" t="inlineStr">
        <is>
          <t>Salario personal de ventas y marketing</t>
        </is>
      </c>
      <c r="C14" s="67" t="n">
        <v>1200</v>
      </c>
      <c r="D14" s="68" t="n">
        <v>2</v>
      </c>
      <c r="E14" s="69">
        <f>C14*D14*12</f>
        <v/>
      </c>
    </row>
    <row r="15">
      <c r="A15" s="65" t="n">
        <v>10</v>
      </c>
      <c r="B15" s="66" t="inlineStr">
        <is>
          <t>Movilidad personal de ventas y marketing</t>
        </is>
      </c>
      <c r="C15" s="67" t="n">
        <v>300</v>
      </c>
      <c r="D15" s="70" t="inlineStr">
        <is>
          <t>-</t>
        </is>
      </c>
      <c r="E15" s="69">
        <f>C15</f>
        <v/>
      </c>
    </row>
    <row r="16">
      <c r="A16" s="71" t="n">
        <v>11</v>
      </c>
      <c r="B16" s="72" t="inlineStr">
        <is>
          <t>Salario personal administrativo</t>
        </is>
      </c>
      <c r="C16" s="73" t="n">
        <v>1500</v>
      </c>
      <c r="D16" s="74" t="n">
        <v>1</v>
      </c>
      <c r="E16" s="75">
        <f>C16*D16*12</f>
        <v/>
      </c>
    </row>
    <row r="17">
      <c r="A17" s="76" t="n">
        <v>12</v>
      </c>
      <c r="B17" s="77" t="inlineStr">
        <is>
          <t>Interés bancario – Año 1</t>
        </is>
      </c>
      <c r="C17" s="78" t="inlineStr">
        <is>
          <t>(→ hoja 2)</t>
        </is>
      </c>
      <c r="D17" s="79" t="inlineStr">
        <is>
          <t>-</t>
        </is>
      </c>
      <c r="E17" s="80">
        <f>'2. Cronograma de Pagos'!D15</f>
        <v/>
      </c>
    </row>
    <row r="18">
      <c r="A18" s="28" t="inlineStr">
        <is>
          <t>(*) Los salarios con cantidad se multiplican × 12 meses. Las licencias son costo anual. Depreciación y amortización son valores anuales. El interés se vincula al cronograma (Hoja 2).</t>
        </is>
      </c>
    </row>
    <row r="20" ht="22" customHeight="1">
      <c r="A20" s="3" t="inlineStr">
        <is>
          <t>ESTADO DE PÉRDIDAS Y GANANCIAS – AÑO 1</t>
        </is>
      </c>
    </row>
    <row r="21">
      <c r="A21" s="4" t="inlineStr">
        <is>
          <t>N°</t>
        </is>
      </c>
      <c r="B21" s="4" t="inlineStr">
        <is>
          <t>Concepto</t>
        </is>
      </c>
      <c r="C21" s="4" t="inlineStr">
        <is>
          <t>Cálculo / Detalle</t>
        </is>
      </c>
      <c r="D21" s="18" t="n"/>
      <c r="E21" s="4" t="inlineStr">
        <is>
          <t>Importe (S/.)</t>
        </is>
      </c>
    </row>
    <row r="22" ht="22" customHeight="1">
      <c r="A22" s="81" t="n">
        <v>1</v>
      </c>
      <c r="B22" s="40" t="inlineStr">
        <is>
          <t>Ingresos</t>
        </is>
      </c>
      <c r="C22" s="82" t="inlineStr">
        <is>
          <t>Precio venta × 7 sedes</t>
        </is>
      </c>
      <c r="E22" s="43">
        <f>E6</f>
        <v/>
      </c>
    </row>
    <row r="23" ht="22" customHeight="1">
      <c r="A23" s="83" t="n">
        <v>2</v>
      </c>
      <c r="B23" s="45" t="inlineStr">
        <is>
          <t>Costos Primos</t>
        </is>
      </c>
      <c r="C23" s="84" t="inlineStr">
        <is>
          <t>Sal. desarrolladores + Licencias</t>
        </is>
      </c>
      <c r="E23" s="48">
        <f>E7+E8</f>
        <v/>
      </c>
    </row>
    <row r="24" ht="22" customHeight="1">
      <c r="A24" s="85" t="n">
        <v>3</v>
      </c>
      <c r="B24" s="50" t="inlineStr">
        <is>
          <t>Costos Indirectos de Fab. (CIF)</t>
        </is>
      </c>
      <c r="C24" s="86" t="inlineStr">
        <is>
          <t>Útiles + Limpieza + Vigilancia</t>
        </is>
      </c>
      <c r="E24" s="53">
        <f>E9+E10+E11</f>
        <v/>
      </c>
    </row>
    <row r="25" ht="22" customHeight="1">
      <c r="A25" s="87" t="n">
        <v>4</v>
      </c>
      <c r="B25" s="56" t="inlineStr">
        <is>
          <t>Depreciación</t>
        </is>
      </c>
      <c r="C25" s="88" t="inlineStr">
        <is>
          <t>Depr. Laptops</t>
        </is>
      </c>
      <c r="E25" s="59">
        <f>E12</f>
        <v/>
      </c>
    </row>
    <row r="26" ht="22" customHeight="1">
      <c r="A26" s="89" t="n">
        <v>5</v>
      </c>
      <c r="B26" s="61" t="inlineStr">
        <is>
          <t>Amortización de Intangibles</t>
        </is>
      </c>
      <c r="C26" s="90" t="inlineStr">
        <is>
          <t>Amort. Licencias de software</t>
        </is>
      </c>
      <c r="E26" s="64">
        <f>E13</f>
        <v/>
      </c>
    </row>
    <row r="27" ht="22" customHeight="1">
      <c r="A27" s="36" t="n">
        <v>6</v>
      </c>
      <c r="B27" s="22" t="inlineStr">
        <is>
          <t>Costo de Producción</t>
        </is>
      </c>
      <c r="C27" s="91" t="inlineStr">
        <is>
          <t>C.Primos + CIF + Depreciación + Amort.</t>
        </is>
      </c>
      <c r="E27" s="92">
        <f>E23+E24+E25+E26</f>
        <v/>
      </c>
    </row>
    <row r="28" ht="22" customHeight="1">
      <c r="A28" s="93" t="n">
        <v>7</v>
      </c>
      <c r="B28" s="94" t="inlineStr">
        <is>
          <t>UTILIDAD BRUTA</t>
        </is>
      </c>
      <c r="C28" s="95" t="inlineStr">
        <is>
          <t>Ingresos − Costo de Producción</t>
        </is>
      </c>
      <c r="E28" s="96">
        <f>E22-E27</f>
        <v/>
      </c>
    </row>
    <row r="29" ht="22" customHeight="1">
      <c r="A29" s="97" t="n">
        <v>8</v>
      </c>
      <c r="B29" s="66" t="inlineStr">
        <is>
          <t>Gastos de Ventas</t>
        </is>
      </c>
      <c r="C29" s="98" t="inlineStr">
        <is>
          <t>Sal. ventas + Movilidad</t>
        </is>
      </c>
      <c r="E29" s="69">
        <f>E14+E15</f>
        <v/>
      </c>
    </row>
    <row r="30" ht="22" customHeight="1">
      <c r="A30" s="99" t="n">
        <v>9</v>
      </c>
      <c r="B30" s="72" t="inlineStr">
        <is>
          <t>Gastos Administrativos</t>
        </is>
      </c>
      <c r="C30" s="100" t="inlineStr">
        <is>
          <t>Sal. personal administrativo</t>
        </is>
      </c>
      <c r="E30" s="75">
        <f>E16</f>
        <v/>
      </c>
    </row>
    <row r="31" ht="22" customHeight="1">
      <c r="A31" s="101" t="n">
        <v>10</v>
      </c>
      <c r="B31" s="77" t="inlineStr">
        <is>
          <t>Gastos Financieros</t>
        </is>
      </c>
      <c r="C31" s="102" t="inlineStr">
        <is>
          <t>Interés bancario Año 1</t>
        </is>
      </c>
      <c r="E31" s="80">
        <f>E17</f>
        <v/>
      </c>
    </row>
    <row r="32" ht="22" customHeight="1">
      <c r="A32" s="36" t="n">
        <v>11</v>
      </c>
      <c r="B32" s="22" t="inlineStr">
        <is>
          <t>Total de Gastos</t>
        </is>
      </c>
      <c r="C32" s="91" t="inlineStr">
        <is>
          <t>G.Ventas + G.Admin. + G.Financieros</t>
        </is>
      </c>
      <c r="E32" s="92">
        <f>E29+E30+E31</f>
        <v/>
      </c>
    </row>
    <row r="33" ht="22" customHeight="1">
      <c r="A33" s="93" t="n">
        <v>12</v>
      </c>
      <c r="B33" s="94" t="inlineStr">
        <is>
          <t>UTILIDAD OPERATIVA (EBIT)</t>
        </is>
      </c>
      <c r="C33" s="95" t="inlineStr">
        <is>
          <t>Ut. Bruta − Total Gastos</t>
        </is>
      </c>
      <c r="E33" s="96">
        <f>E28-E32</f>
        <v/>
      </c>
    </row>
    <row r="34" ht="22" customHeight="1">
      <c r="A34" s="103" t="n">
        <v>13</v>
      </c>
      <c r="B34" s="9" t="inlineStr">
        <is>
          <t>Impuesto a la Renta (29.5%)</t>
        </is>
      </c>
      <c r="C34" s="104" t="inlineStr">
        <is>
          <t>29.5% × Utilidad Operativa</t>
        </is>
      </c>
      <c r="E34" s="12">
        <f>E33*0.295</f>
        <v/>
      </c>
    </row>
    <row r="35" ht="22" customHeight="1">
      <c r="A35" s="105" t="n">
        <v>14</v>
      </c>
      <c r="B35" s="25" t="inlineStr">
        <is>
          <t>UTILIDAD NETA</t>
        </is>
      </c>
      <c r="C35" s="26" t="inlineStr">
        <is>
          <t>Ut. Operativa − Imp. Renta</t>
        </is>
      </c>
      <c r="E35" s="27">
        <f>E33-E34</f>
        <v/>
      </c>
    </row>
    <row r="36">
      <c r="A36" s="28" t="inlineStr">
        <is>
          <t>(*) Impuesto a la Renta: tasa del 29.5% aplicada sobre la Utilidad Operativa (EBIT).</t>
        </is>
      </c>
    </row>
  </sheetData>
  <mergeCells count="21">
    <mergeCell ref="C34:D34"/>
    <mergeCell ref="C24:D24"/>
    <mergeCell ref="C30:D30"/>
    <mergeCell ref="C33:D33"/>
    <mergeCell ref="A1:E1"/>
    <mergeCell ref="A36:E36"/>
    <mergeCell ref="C26:D26"/>
    <mergeCell ref="C35:D35"/>
    <mergeCell ref="C29:D29"/>
    <mergeCell ref="C25:D25"/>
    <mergeCell ref="C22:D22"/>
    <mergeCell ref="C31:D31"/>
    <mergeCell ref="A18:E18"/>
    <mergeCell ref="C21:D21"/>
    <mergeCell ref="A2:E2"/>
    <mergeCell ref="C27:D27"/>
    <mergeCell ref="C23:D23"/>
    <mergeCell ref="A4:E4"/>
    <mergeCell ref="C32:D32"/>
    <mergeCell ref="A20:E20"/>
    <mergeCell ref="C28:D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2026-06-04T13:47:15Z</dcterms:created>
  <dcterms:modified xsi:type="dcterms:W3CDTF">2026-06-04T13:47:15Z</dcterms:modified>
</cp:coreProperties>
</file>